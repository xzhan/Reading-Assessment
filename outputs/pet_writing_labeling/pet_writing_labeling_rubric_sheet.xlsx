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76968ba73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d6b7c40c65643de"/>
    <x:sheet xmlns:r="http://schemas.openxmlformats.org/officeDocument/2006/relationships" name="Rubric" sheetId="2" r:id="R030d98394c4f423a"/>
    <x:sheet xmlns:r="http://schemas.openxmlformats.org/officeDocument/2006/relationships" name="Scoring Sheet" sheetId="3" r:id="R09f5cecd9c0e4ef5"/>
    <x:sheet xmlns:r="http://schemas.openxmlformats.org/officeDocument/2006/relationships" name="Sample Filled" sheetId="4" r:id="R699470739675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theme="1"/>
      <x:name val="Calibri"/>
    </x:font>
    <x:font>
      <x:b/>
      <x:sz val="11"/>
      <x:color rgb="FFFFFF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i/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0.75"/>
      </x:patternFill>
    </x:fill>
    <x:fill>
      <x:patternFill patternType="solid">
        <x:fgColor theme="4" tint="0"/>
      </x:patternFill>
    </x:fill>
    <x:fill>
      <x:patternFill patternType="solid">
        <x:fgColor theme="5" tint="0.78"/>
      </x:patternFill>
    </x:fill>
  </x:fills>
  <x:borders count="32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</x:border>
    <x:border>
      <x:left style="thin">
        <x:color rgb="D1D5DB"/>
      </x:left>
      <x:right style="thin">
        <x:color rgb="D1D5DB"/>
      </x:right>
    </x:border>
    <x:border>
      <x:left style="thin">
        <x:color rgb="D1D5DB"/>
      </x:left>
      <x:right style="thin">
        <x:color rgb="D1D5DB"/>
      </x:right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</x:border>
    <x:border>
      <x:left style="thin">
        <x:color rgb="D1D5DB"/>
      </x:left>
      <x:right style="thin">
        <x:color rgb="D1D5DB"/>
      </x:right>
    </x:border>
    <x:border>
      <x:left style="thin">
        <x:color rgb="D1D5DB"/>
      </x:left>
      <x:right style="thin">
        <x:color rgb="D1D5DB"/>
      </x:right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top style="thin">
        <x:color rgb="D1D5DB"/>
      </x:top>
    </x:border>
    <x:border>
      <x:bottom style="thin">
        <x:color rgb="D1D5DB"/>
      </x:bottom>
    </x:border>
    <x:border>
      <x:top style="thin">
        <x:color rgb="D1D5DB"/>
      </x:top>
    </x:border>
    <x:border>
      <x:bottom style="thin">
        <x:color rgb="D1D5DB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0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wrapText="1"/>
    </x:xf>
    <x:xf numFmtId="0" fontId="0" fillId="4" borderId="23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/>
    <x:xf numFmtId="0" fontId="2" fillId="3" borderId="27" xfId="0" applyNumberFormat="1" applyFont="1" applyFill="1" applyBorder="1"/>
    <x:xf numFmtId="0" fontId="2" fillId="3" borderId="26" xfId="0" applyNumberFormat="1" applyFont="1" applyFill="1" applyBorder="1" applyAlignment="1">
      <x:alignment wrapText="1"/>
    </x:xf>
    <x:xf numFmtId="0" fontId="2" fillId="3" borderId="27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horizontal="center" wrapText="1"/>
    </x:xf>
    <x:xf numFmtId="0" fontId="2" fillId="3" borderId="27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3" fillId="0" borderId="28" xfId="0" applyNumberFormat="1" applyFont="1" applyFill="1" applyBorder="1"/>
    <x:xf numFmtId="0" fontId="3" fillId="0" borderId="29" xfId="0" applyNumberFormat="1" applyFont="1" applyFill="1" applyBorder="1"/>
    <x:xf numFmtId="0" fontId="3" fillId="0" borderId="30" xfId="0" applyNumberFormat="1" applyFont="1" applyFill="1" applyBorder="1"/>
    <x:xf numFmtId="0" fontId="3" fillId="0" borderId="31" xfId="0" applyNumberFormat="1" applyFont="1" applyFill="1" applyBorder="1"/>
    <x:xf numFmtId="0" fontId="3" fillId="0" borderId="2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29" xfId="0" applyNumberFormat="1" applyFont="1" applyFill="1" applyBorder="1" applyAlignment="1">
      <x:alignment wrapText="1"/>
    </x:xf>
    <x:xf numFmtId="0" fontId="3" fillId="0" borderId="3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31" xfId="0" applyNumberFormat="1" applyFont="1" applyFill="1" applyBorder="1" applyAlignment="1">
      <x:alignment wrapText="1"/>
    </x:xf>
    <x:xf numFmtId="0" fontId="3" fillId="0" borderId="28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9" xfId="0" applyNumberFormat="1" applyFont="1" applyFill="1" applyBorder="1" applyAlignment="1">
      <x:alignment vertical="center" wrapText="1"/>
    </x:xf>
    <x:xf numFmtId="0" fontId="3" fillId="0" borderId="3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31" xfId="0" applyNumberFormat="1" applyFont="1" applyFill="1" applyBorder="1" applyAlignment="1">
      <x:alignment vertical="center" wrapText="1"/>
    </x:xf>
    <x:xf numFmtId="0" fontId="3" fillId="4" borderId="28" xfId="0" applyNumberFormat="1" applyFont="1" applyFill="1" applyBorder="1" applyAlignment="1">
      <x:alignment vertical="center" wrapText="1"/>
    </x:xf>
    <x:xf numFmtId="0" fontId="3" fillId="4" borderId="3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/>
    <x:xf numFmtId="0" fontId="0" fillId="4" borderId="28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29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30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31" xfId="0" applyNumberFormat="1" applyFont="1" applyFill="1" applyBorder="1"/>
    <x:xf numFmtId="0" fontId="0" fillId="4" borderId="17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30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31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3" fillId="0" borderId="28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29" xfId="0" applyNumberFormat="1" applyFont="1" applyFill="1" applyBorder="1" applyAlignment="1">
      <x:alignment horizontal="center" vertical="center" wrapText="1"/>
    </x:xf>
    <x:xf numFmtId="0" fontId="3" fillId="0" borderId="3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3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0e10ce2234f57" /><Relationship Type="http://schemas.openxmlformats.org/officeDocument/2006/relationships/theme" Target="/xl/theme/theme1.xml" Id="R57242e66ed46445f" /><Relationship Type="http://schemas.openxmlformats.org/officeDocument/2006/relationships/sharedStrings" Target="/xl/sharedStrings.xml" Id="R8a594c57477d432c" /><Relationship Type="http://schemas.openxmlformats.org/officeDocument/2006/relationships/worksheet" Target="/xl/worksheets/sheet1.xml" Id="R5d6b7c40c65643de" /><Relationship Type="http://schemas.openxmlformats.org/officeDocument/2006/relationships/worksheet" Target="/xl/worksheets/sheet2.xml" Id="R030d98394c4f423a" /><Relationship Type="http://schemas.openxmlformats.org/officeDocument/2006/relationships/worksheet" Target="/xl/worksheets/sheet3.xml" Id="R09f5cecd9c0e4ef5" /><Relationship Type="http://schemas.openxmlformats.org/officeDocument/2006/relationships/worksheet" Target="/xl/worksheets/sheet4.xml" Id="R699470739675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.709999084472656" hidden="0" customWidth="1"/>
    <x:col min="2" max="2" width="180.2899932861328" hidden="0" customWidth="1"/>
    <x:col min="4" max="4" width="44.43000030517578" hidden="0" customWidth="1"/>
  </x:cols>
  <x:sheetData>
    <x:row r="1" ht="19.53125" hidden="0" customHeight="1">
      <x:c r="A1" s="6" t="str">
        <x:v>PET Writing Manual Labeling Pack</x:v>
      </x:c>
      <x:c r="B1" s="6" t="str"/>
      <x:c r="C1" s="6" t="str"/>
      <x:c r="D1" s="6" t="str"/>
      <x:c r="E1" s="6" t="str"/>
      <x:c r="F1" s="6" t="str"/>
    </x:row>
    <x:row r="2"/>
    <x:row r="3" ht="15" hidden="0" customHeight="1">
      <x:c r="A3" s="24" t="str">
        <x:v>What this workbook is for</x:v>
      </x:c>
      <x:c r="B3" s="25" t="str">
        <x:v>Use this workbook to help teachers score PET Writing consistently before the essays are converted into JSONL training data.</x:v>
      </x:c>
      <x:c r="D3" s="78" t="str">
        <x:v>Quick checklist before you save a row</x:v>
      </x:c>
    </x:row>
    <x:row r="4" ht="15" hidden="0" customHeight="1">
      <x:c r="A4" s="66" t="str">
        <x:v>Recommended workflow</x:v>
      </x:c>
      <x:c r="B4" s="55" t="str">
        <x:v>1. Read the prompt. 2. Read the essay once for meaning. 3. Score the four dimensions separately. 4. Add a brief strength note and issue note. 5. Flag REVIEW when confidence is low or the essay is far below target.</x:v>
      </x:c>
      <x:c r="D4" s="88" t="str">
        <x:v>Did the student answer all parts of the task?</x:v>
      </x:c>
    </x:row>
    <x:row r="5" ht="15" hidden="0" customHeight="1">
      <x:c r="A5" s="67" t="str">
        <x:v>Score scale</x:v>
      </x:c>
      <x:c r="B5" s="57" t="str">
        <x:v>Use a 0-5 scale for each dimension. 0-1 = very weak, 2 = below PET target, 3 = borderline, 4 = solid PET level, 5 = strong PET-level response.</x:v>
      </x:c>
      <x:c r="D5" s="89" t="str">
        <x:v>Are the ideas linked clearly enough?</x:v>
      </x:c>
    </x:row>
    <x:row r="6" ht="15" hidden="0" customHeight="1">
      <x:c r="A6" s="67" t="str">
        <x:v>When to use REVIEW</x:v>
      </x:c>
      <x:c r="B6" s="57" t="str">
        <x:v>Use REVIEW when the essay is off-topic, very short, heavily unclear, or when the rater is not confident in one or more dimension scores.</x:v>
      </x:c>
      <x:c r="D6" s="89" t="str">
        <x:v>Are grammar errors frequent or meaning-blocking?</x:v>
      </x:c>
    </x:row>
    <x:row r="7" ht="15" hidden="0" customHeight="1">
      <x:c r="A7" s="67" t="str">
        <x:v>What to avoid</x:v>
      </x:c>
      <x:c r="B7" s="57" t="str">
        <x:v>Do not let grammar automatically lower every dimension. Score Task, Organization, Grammar, and Lexical control separately.</x:v>
      </x:c>
      <x:c r="D7" s="90" t="str">
        <x:v>Is the vocabulary accurate and not overly repetitive?</x:v>
      </x:c>
    </x:row>
    <x:row r="8" ht="15" hidden="0" customHeight="1">
      <x:c r="A8" s="68" t="str">
        <x:v>Next step after scoring</x:v>
      </x:c>
      <x:c r="B8" s="59" t="str">
        <x:v>Copy completed rows into the JSONL labeling file once a second review or spot check is done.</x:v>
      </x:c>
    </x:row>
    <x:row r="9"/>
    <x:row r="10"/>
    <x:row r="11"/>
    <x:row r="12"/>
    <x:row r="13"/>
    <x:row r="14"/>
    <x:row r="15"/>
    <x:row r="16"/>
    <x:row r="17"/>
    <x:row r="18"/>
    <x:row r="19"/>
    <x:row r="2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6.43000030517578" hidden="0" customWidth="1"/>
    <x:col min="2" max="2" width="26.139999389648438" hidden="0" customWidth="1"/>
    <x:col min="3" max="3" width="28.43000030517578" hidden="0" customWidth="1"/>
    <x:col min="4" max="4" width="31" hidden="0" customWidth="1"/>
    <x:col min="5" max="5" width="25.139999389648438" hidden="0" customWidth="1"/>
    <x:col min="6" max="6" width="37.56999969482422" hidden="0" customWidth="1"/>
    <x:col min="7" max="7" width="43.13999938964844" hidden="0" customWidth="1"/>
  </x:cols>
  <x:sheetData>
    <x:row r="1" ht="19.53125" hidden="0" customHeight="1">
      <x:c r="A1" s="6" t="str">
        <x:v>PET Writing Rubric Reference</x:v>
      </x:c>
      <x:c r="B1" s="6" t="str"/>
      <x:c r="C1" s="6" t="str"/>
      <x:c r="D1" s="6" t="str"/>
      <x:c r="E1" s="6" t="str"/>
      <x:c r="F1" s="6" t="str"/>
      <x:c r="G1" s="6" t="str"/>
    </x:row>
    <x:row r="2"/>
    <x:row r="3" ht="15" hidden="0" customHeight="1">
      <x:c r="A3" s="24" t="str">
        <x:v>Dimension</x:v>
      </x:c>
      <x:c r="B3" s="100" t="str">
        <x:v>1</x:v>
      </x:c>
      <x:c r="C3" s="100" t="str">
        <x:v>2</x:v>
      </x:c>
      <x:c r="D3" s="100" t="str">
        <x:v>3</x:v>
      </x:c>
      <x:c r="E3" s="100" t="str">
        <x:v>4</x:v>
      </x:c>
      <x:c r="F3" s="100" t="str">
        <x:v>5</x:v>
      </x:c>
      <x:c r="G3" s="25" t="str">
        <x:v>Guiding question</x:v>
      </x:c>
    </x:row>
    <x:row r="4" ht="15" hidden="0" customHeight="1">
      <x:c r="A4" s="66" t="str">
        <x:v>Task Achievement</x:v>
      </x:c>
      <x:c r="B4" s="118" t="str">
        <x:v>Very incomplete task response</x:v>
      </x:c>
      <x:c r="C4" s="118" t="str">
        <x:v>Covers some task points</x:v>
      </x:c>
      <x:c r="D4" s="118" t="str">
        <x:v>Covers most task points</x:v>
      </x:c>
      <x:c r="E4" s="118" t="str">
        <x:v>Clear response to the full task</x:v>
      </x:c>
      <x:c r="F4" s="118" t="str">
        <x:v>Complete and convincing PET-level response</x:v>
      </x:c>
      <x:c r="G4" s="55" t="str">
        <x:v>Did the student answer what the prompt asked?</x:v>
      </x:c>
    </x:row>
    <x:row r="5" ht="15" hidden="0" customHeight="1">
      <x:c r="A5" s="67" t="str">
        <x:v>Organization &amp; Coherence</x:v>
      </x:c>
      <x:c r="B5" s="113" t="str">
        <x:v>Ideas are disconnected</x:v>
      </x:c>
      <x:c r="C5" s="113" t="str">
        <x:v>Some order but weak linking</x:v>
      </x:c>
      <x:c r="D5" s="113" t="str">
        <x:v>Meaning can be followed</x:v>
      </x:c>
      <x:c r="E5" s="113" t="str">
        <x:v>Ideas are clearly organized</x:v>
      </x:c>
      <x:c r="F5" s="113" t="str">
        <x:v>Ideas flow smoothly and clearly</x:v>
      </x:c>
      <x:c r="G5" s="57" t="str">
        <x:v>Can the reader follow the message easily?</x:v>
      </x:c>
    </x:row>
    <x:row r="6" ht="15" hidden="0" customHeight="1">
      <x:c r="A6" s="67" t="str">
        <x:v>Grammar Control</x:v>
      </x:c>
      <x:c r="B6" s="120" t="str">
        <x:v>Frequent errors block meaning</x:v>
      </x:c>
      <x:c r="C6" s="120" t="str">
        <x:v>Many errors reduce clarity</x:v>
      </x:c>
      <x:c r="D6" s="120" t="str">
        <x:v>Errors exist but meaning survives</x:v>
      </x:c>
      <x:c r="E6" s="120" t="str">
        <x:v>Mostly controlled grammar</x:v>
      </x:c>
      <x:c r="F6" s="120" t="str">
        <x:v>Strong control with few disruptive errors</x:v>
      </x:c>
      <x:c r="G6" s="57" t="str">
        <x:v>Do grammar errors seriously affect understanding?</x:v>
      </x:c>
    </x:row>
    <x:row r="7" ht="15" hidden="0" customHeight="1">
      <x:c r="A7" s="68" t="str">
        <x:v>Lexical Range &amp; Accuracy</x:v>
      </x:c>
      <x:c r="B7" s="114" t="str">
        <x:v>Very limited vocabulary</x:v>
      </x:c>
      <x:c r="C7" s="114" t="str">
        <x:v>Basic words with frequent misuse</x:v>
      </x:c>
      <x:c r="D7" s="114" t="str">
        <x:v>Simple but mostly usable vocabulary</x:v>
      </x:c>
      <x:c r="E7" s="114" t="str">
        <x:v>Adequate range for PET</x:v>
      </x:c>
      <x:c r="F7" s="114" t="str">
        <x:v>Flexible and accurate PET-level vocabulary</x:v>
      </x:c>
      <x:c r="G7" s="59" t="str">
        <x:v>Are the words varied and used accurately?</x:v>
      </x:c>
    </x:row>
    <x:row r="8"/>
    <x:row r="9"/>
    <x:row r="10" ht="15" hidden="0" customHeight="1">
      <x:c r="A10" s="24" t="str">
        <x:v>Dimension-specific note</x:v>
      </x:c>
      <x:c r="B10" s="100" t="str"/>
      <x:c r="C10" s="100" t="str"/>
      <x:c r="D10" s="100" t="str"/>
      <x:c r="E10" s="100" t="str"/>
      <x:c r="F10" s="100" t="str"/>
      <x:c r="G10" s="25" t="str"/>
    </x:row>
    <x:row r="11" ht="15" hidden="0" customHeight="1">
      <x:c r="A11" s="138" t="str">
        <x:v>Task Achievement should carry the main penalty when the essay misses content points or is too short.</x:v>
      </x:c>
      <x:c r="B11" s="139" t="str"/>
      <x:c r="C11" s="139" t="str"/>
      <x:c r="D11" s="139" t="str"/>
      <x:c r="E11" s="139" t="str"/>
      <x:c r="F11" s="139" t="str"/>
      <x:c r="G11" s="140" t="str"/>
    </x:row>
    <x:row r="12" ht="15" hidden="0" customHeight="1">
      <x:c r="A12" s="141" t="str">
        <x:v>Organization should focus on paragraphing, logic, and connectors rather than grammar accuracy.</x:v>
      </x:c>
      <x:c r="B12" s="142" t="str"/>
      <x:c r="C12" s="142" t="str"/>
      <x:c r="D12" s="142" t="str"/>
      <x:c r="E12" s="142" t="str"/>
      <x:c r="F12" s="142" t="str"/>
      <x:c r="G12" s="143" t="str"/>
    </x:row>
    <x:row r="13" ht="15" hidden="0" customHeight="1">
      <x:c r="A13" s="141" t="str">
        <x:v>Grammar should reflect control of tense, verb forms, articles, and sentence clarity.</x:v>
      </x:c>
      <x:c r="B13" s="142" t="str"/>
      <x:c r="C13" s="142" t="str"/>
      <x:c r="D13" s="142" t="str"/>
      <x:c r="E13" s="142" t="str"/>
      <x:c r="F13" s="142" t="str"/>
      <x:c r="G13" s="143" t="str"/>
    </x:row>
    <x:row r="14" ht="15" hidden="0" customHeight="1">
      <x:c r="A14" s="144" t="str">
        <x:v>Lexical score should reflect variety and accuracy, not just advanced vocabulary.</x:v>
      </x:c>
      <x:c r="B14" s="145" t="str"/>
      <x:c r="C14" s="145" t="str"/>
      <x:c r="D14" s="145" t="str"/>
      <x:c r="E14" s="145" t="str"/>
      <x:c r="F14" s="145" t="str"/>
      <x:c r="G14" s="146" t="str"/>
    </x:row>
    <x:row r="15"/>
    <x:row r="16"/>
    <x:row r="17"/>
    <x:row r="18"/>
    <x:row r="19"/>
    <x:row r="2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8.29000091552734" hidden="0" customWidth="1"/>
    <x:col min="2" max="2" width="6.710000038146973" hidden="0" customWidth="1"/>
    <x:col min="3" max="3" width="8.859999656677246" hidden="0" customWidth="1"/>
    <x:col min="4" max="4" width="4" hidden="0" customWidth="1"/>
    <x:col min="5" max="5" width="4.570000171661377" hidden="0" customWidth="1"/>
    <x:col min="6" max="6" width="4" hidden="0" customWidth="1"/>
    <x:col min="7" max="7" width="8.859999656677246" hidden="0" customWidth="1"/>
    <x:col min="8" max="8" width="5.570000171661377" hidden="0" customWidth="1"/>
    <x:col min="9" max="9" width="3.7100000381469727" hidden="0" customWidth="1"/>
    <x:col min="10" max="10" width="3" hidden="0" customWidth="1"/>
    <x:col min="11" max="11" width="8.140000343322754" hidden="0" customWidth="1"/>
    <x:col min="12" max="12" width="5.710000038146973" hidden="0" customWidth="1"/>
    <x:col min="13" max="13" width="6.139999866485596" hidden="0" customWidth="1"/>
    <x:col min="14" max="14" width="8.710000038146973" hidden="0" customWidth="1"/>
    <x:col min="15" max="15" width="6.289999961853027" hidden="0" customWidth="1"/>
    <x:col min="16" max="16" width="13" hidden="0" customWidth="1"/>
    <x:col min="17" max="17" width="9.859999656677246" hidden="0" customWidth="1"/>
    <x:col min="18" max="18" width="5.289999961853027" hidden="0" customWidth="1"/>
  </x:cols>
  <x:sheetData>
    <x:row r="1" ht="19.53125" hidden="0" customHeight="1">
      <x:c r="A1" s="6" t="str">
        <x:v>PET Writing Scoring Sheet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</x:row>
    <x:row r="2" ht="15" hidden="0" customHeight="1">
      <x:c r="A2" s="158" t="str">
        <x:v>Fill one row per essay. Score the four dimensions on a 0-5 scale. Overall, readiness, and review flag are calculated automatically.</x:v>
      </x:c>
      <x:c r="B2" s="158" t="str"/>
      <x:c r="C2" s="158" t="str"/>
      <x:c r="D2" s="158" t="str"/>
      <x:c r="E2" s="158" t="str"/>
      <x:c r="F2" s="158" t="str"/>
      <x:c r="G2" s="158" t="str"/>
      <x:c r="H2" s="158" t="str"/>
      <x:c r="I2" s="158" t="str"/>
      <x:c r="J2" s="158" t="str"/>
      <x:c r="K2" s="158" t="str"/>
      <x:c r="L2" s="158" t="str"/>
      <x:c r="M2" s="158" t="str"/>
      <x:c r="N2" s="158" t="str"/>
      <x:c r="O2" s="158" t="str"/>
      <x:c r="P2" s="158" t="str"/>
      <x:c r="Q2" s="158" t="str"/>
      <x:c r="R2" s="158" t="str"/>
    </x:row>
    <x:row r="3"/>
    <x:row r="4" ht="15" hidden="0" customHeight="1">
      <x:c r="A4" s="24" t="str">
        <x:v>Sample ID</x:v>
      </x:c>
      <x:c r="B4" s="100" t="str">
        <x:v>Student</x:v>
      </x:c>
      <x:c r="C4" s="100" t="str">
        <x:v>Prompt ID</x:v>
      </x:c>
      <x:c r="D4" s="100" t="str">
        <x:v>Type</x:v>
      </x:c>
      <x:c r="E4" s="100" t="str">
        <x:v>Rater</x:v>
      </x:c>
      <x:c r="F4" s="100" t="str">
        <x:v>Date</x:v>
      </x:c>
      <x:c r="G4" s="100" t="str">
        <x:v>Time (sec)</x:v>
      </x:c>
      <x:c r="H4" s="100" t="str">
        <x:v>Words</x:v>
      </x:c>
      <x:c r="I4" s="100" t="str">
        <x:v>Task</x:v>
      </x:c>
      <x:c r="J4" s="100" t="str">
        <x:v>Org</x:v>
      </x:c>
      <x:c r="K4" s="100" t="str">
        <x:v>Grammar</x:v>
      </x:c>
      <x:c r="L4" s="100" t="str">
        <x:v>Lexical</x:v>
      </x:c>
      <x:c r="M4" s="100" t="str">
        <x:v>Overall</x:v>
      </x:c>
      <x:c r="N4" s="100" t="str">
        <x:v>Readiness</x:v>
      </x:c>
      <x:c r="O4" s="100" t="str">
        <x:v>Review</x:v>
      </x:c>
      <x:c r="P4" s="100" t="str">
        <x:v>Strength Notes</x:v>
      </x:c>
      <x:c r="Q4" s="100" t="str">
        <x:v>Issue Notes</x:v>
      </x:c>
      <x:c r="R4" s="25" t="str">
        <x:v>Status</x:v>
      </x:c>
    </x:row>
    <x:row r="5" ht="15" hidden="0" customHeight="1">
      <x:c r="A5" s="54" t="str"/>
      <x:c r="B5" s="112" t="str"/>
      <x:c r="C5" s="112" t="str"/>
      <x:c r="D5" s="112" t="str"/>
      <x:c r="E5" s="112" t="str"/>
      <x:c r="F5" s="112" t="str"/>
      <x:c r="G5" s="160" t="str"/>
      <x:c r="H5" s="160" t="str"/>
      <x:c r="I5" s="160" t="str"/>
      <x:c r="J5" s="160" t="str"/>
      <x:c r="K5" s="160" t="str"/>
      <x:c r="L5" s="160" t="str"/>
      <x:c r="M5" s="160" t="str">
        <x:f>IF(COUNT(I5:L5)=0,"",SUM(I5:L5))</x:f>
      </x:c>
      <x:c r="N5" s="160" t="str">
        <x:f>IF(OR(M5="",M5=0),"",IF(M5&gt;=15,"on_track",IF(M5&gt;=11,"borderline","below_target")))</x:f>
      </x:c>
      <x:c r="O5" s="160" t="str">
        <x:f>IF(OR(M5="",M5=0),"",IF(OR(M5&lt;11,MIN(I5:L5)&lt;=1),"REVIEW","OK"))</x:f>
      </x:c>
      <x:c r="P5" s="112" t="str"/>
      <x:c r="Q5" s="112" t="str"/>
      <x:c r="R5" s="55" t="str"/>
    </x:row>
    <x:row r="6" ht="15" hidden="0" customHeight="1">
      <x:c r="A6" s="56" t="str"/>
      <x:c r="B6" s="113" t="str"/>
      <x:c r="C6" s="113" t="str"/>
      <x:c r="D6" s="113" t="str"/>
      <x:c r="E6" s="113" t="str"/>
      <x:c r="F6" s="113" t="str"/>
      <x:c r="G6" s="161" t="str"/>
      <x:c r="H6" s="161" t="str"/>
      <x:c r="I6" s="161" t="str"/>
      <x:c r="J6" s="161" t="str"/>
      <x:c r="K6" s="161" t="str"/>
      <x:c r="L6" s="161" t="str"/>
      <x:c r="M6" s="161" t="str">
        <x:f>IF(COUNT(I6:L6)=0,"",SUM(I6:L6))</x:f>
      </x:c>
      <x:c r="N6" s="161" t="str">
        <x:f>IF(OR(M6="",M6=0),"",IF(M6&gt;=15,"on_track",IF(M6&gt;=11,"borderline","below_target")))</x:f>
      </x:c>
      <x:c r="O6" s="161" t="str">
        <x:f>IF(OR(M6="",M6=0),"",IF(OR(M6&lt;11,MIN(I6:L6)&lt;=1),"REVIEW","OK"))</x:f>
      </x:c>
      <x:c r="P6" s="113" t="str"/>
      <x:c r="Q6" s="113" t="str"/>
      <x:c r="R6" s="57" t="str"/>
    </x:row>
    <x:row r="7" ht="15" hidden="0" customHeight="1">
      <x:c r="A7" s="56" t="str"/>
      <x:c r="B7" s="113" t="str"/>
      <x:c r="C7" s="113" t="str"/>
      <x:c r="D7" s="113" t="str"/>
      <x:c r="E7" s="113" t="str"/>
      <x:c r="F7" s="113" t="str"/>
      <x:c r="G7" s="161" t="str"/>
      <x:c r="H7" s="161" t="str"/>
      <x:c r="I7" s="161" t="str"/>
      <x:c r="J7" s="161" t="str"/>
      <x:c r="K7" s="161" t="str"/>
      <x:c r="L7" s="161" t="str"/>
      <x:c r="M7" s="161" t="str">
        <x:f>IF(COUNT(I7:L7)=0,"",SUM(I7:L7))</x:f>
      </x:c>
      <x:c r="N7" s="161" t="str">
        <x:f>IF(OR(M7="",M7=0),"",IF(M7&gt;=15,"on_track",IF(M7&gt;=11,"borderline","below_target")))</x:f>
      </x:c>
      <x:c r="O7" s="161" t="str">
        <x:f>IF(OR(M7="",M7=0),"",IF(OR(M7&lt;11,MIN(I7:L7)&lt;=1),"REVIEW","OK"))</x:f>
      </x:c>
      <x:c r="P7" s="113" t="str"/>
      <x:c r="Q7" s="113" t="str"/>
      <x:c r="R7" s="57" t="str"/>
    </x:row>
    <x:row r="8" ht="15" hidden="0" customHeight="1">
      <x:c r="A8" s="56" t="str"/>
      <x:c r="B8" s="113" t="str"/>
      <x:c r="C8" s="113" t="str"/>
      <x:c r="D8" s="113" t="str"/>
      <x:c r="E8" s="113" t="str"/>
      <x:c r="F8" s="113" t="str"/>
      <x:c r="G8" s="161" t="str"/>
      <x:c r="H8" s="161" t="str"/>
      <x:c r="I8" s="161" t="str"/>
      <x:c r="J8" s="161" t="str"/>
      <x:c r="K8" s="161" t="str"/>
      <x:c r="L8" s="161" t="str"/>
      <x:c r="M8" s="161" t="str">
        <x:f>IF(COUNT(I8:L8)=0,"",SUM(I8:L8))</x:f>
      </x:c>
      <x:c r="N8" s="161" t="str">
        <x:f>IF(OR(M8="",M8=0),"",IF(M8&gt;=15,"on_track",IF(M8&gt;=11,"borderline","below_target")))</x:f>
      </x:c>
      <x:c r="O8" s="161" t="str">
        <x:f>IF(OR(M8="",M8=0),"",IF(OR(M8&lt;11,MIN(I8:L8)&lt;=1),"REVIEW","OK"))</x:f>
      </x:c>
      <x:c r="P8" s="113" t="str"/>
      <x:c r="Q8" s="113" t="str"/>
      <x:c r="R8" s="57" t="str"/>
    </x:row>
    <x:row r="9" ht="15" hidden="0" customHeight="1">
      <x:c r="A9" s="56" t="str"/>
      <x:c r="B9" s="113" t="str"/>
      <x:c r="C9" s="113" t="str"/>
      <x:c r="D9" s="113" t="str"/>
      <x:c r="E9" s="113" t="str"/>
      <x:c r="F9" s="113" t="str"/>
      <x:c r="G9" s="161" t="str"/>
      <x:c r="H9" s="161" t="str"/>
      <x:c r="I9" s="161" t="str"/>
      <x:c r="J9" s="161" t="str"/>
      <x:c r="K9" s="161" t="str"/>
      <x:c r="L9" s="161" t="str"/>
      <x:c r="M9" s="161" t="str">
        <x:f>IF(COUNT(I9:L9)=0,"",SUM(I9:L9))</x:f>
      </x:c>
      <x:c r="N9" s="161" t="str">
        <x:f>IF(OR(M9="",M9=0),"",IF(M9&gt;=15,"on_track",IF(M9&gt;=11,"borderline","below_target")))</x:f>
      </x:c>
      <x:c r="O9" s="161" t="str">
        <x:f>IF(OR(M9="",M9=0),"",IF(OR(M9&lt;11,MIN(I9:L9)&lt;=1),"REVIEW","OK"))</x:f>
      </x:c>
      <x:c r="P9" s="113" t="str"/>
      <x:c r="Q9" s="113" t="str"/>
      <x:c r="R9" s="57" t="str"/>
    </x:row>
    <x:row r="10" ht="15" hidden="0" customHeight="1">
      <x:c r="A10" s="56" t="str"/>
      <x:c r="B10" s="113" t="str"/>
      <x:c r="C10" s="113" t="str"/>
      <x:c r="D10" s="113" t="str"/>
      <x:c r="E10" s="113" t="str"/>
      <x:c r="F10" s="113" t="str"/>
      <x:c r="G10" s="161" t="str"/>
      <x:c r="H10" s="161" t="str"/>
      <x:c r="I10" s="161" t="str"/>
      <x:c r="J10" s="161" t="str"/>
      <x:c r="K10" s="161" t="str"/>
      <x:c r="L10" s="161" t="str"/>
      <x:c r="M10" s="161" t="str">
        <x:f>IF(COUNT(I10:L10)=0,"",SUM(I10:L10))</x:f>
      </x:c>
      <x:c r="N10" s="161" t="str">
        <x:f>IF(OR(M10="",M10=0),"",IF(M10&gt;=15,"on_track",IF(M10&gt;=11,"borderline","below_target")))</x:f>
      </x:c>
      <x:c r="O10" s="161" t="str">
        <x:f>IF(OR(M10="",M10=0),"",IF(OR(M10&lt;11,MIN(I10:L10)&lt;=1),"REVIEW","OK"))</x:f>
      </x:c>
      <x:c r="P10" s="113" t="str"/>
      <x:c r="Q10" s="113" t="str"/>
      <x:c r="R10" s="57" t="str"/>
    </x:row>
    <x:row r="11" ht="15" hidden="0" customHeight="1">
      <x:c r="A11" s="56" t="str"/>
      <x:c r="B11" s="113" t="str"/>
      <x:c r="C11" s="113" t="str"/>
      <x:c r="D11" s="113" t="str"/>
      <x:c r="E11" s="113" t="str"/>
      <x:c r="F11" s="113" t="str"/>
      <x:c r="G11" s="161" t="str"/>
      <x:c r="H11" s="161" t="str"/>
      <x:c r="I11" s="161" t="str"/>
      <x:c r="J11" s="161" t="str"/>
      <x:c r="K11" s="161" t="str"/>
      <x:c r="L11" s="161" t="str"/>
      <x:c r="M11" s="161" t="str">
        <x:f>IF(COUNT(I11:L11)=0,"",SUM(I11:L11))</x:f>
      </x:c>
      <x:c r="N11" s="161" t="str">
        <x:f>IF(OR(M11="",M11=0),"",IF(M11&gt;=15,"on_track",IF(M11&gt;=11,"borderline","below_target")))</x:f>
      </x:c>
      <x:c r="O11" s="161" t="str">
        <x:f>IF(OR(M11="",M11=0),"",IF(OR(M11&lt;11,MIN(I11:L11)&lt;=1),"REVIEW","OK"))</x:f>
      </x:c>
      <x:c r="P11" s="113" t="str"/>
      <x:c r="Q11" s="113" t="str"/>
      <x:c r="R11" s="57" t="str"/>
    </x:row>
    <x:row r="12" ht="15" hidden="0" customHeight="1">
      <x:c r="A12" s="56" t="str"/>
      <x:c r="B12" s="113" t="str"/>
      <x:c r="C12" s="113" t="str"/>
      <x:c r="D12" s="113" t="str"/>
      <x:c r="E12" s="113" t="str"/>
      <x:c r="F12" s="113" t="str"/>
      <x:c r="G12" s="161" t="str"/>
      <x:c r="H12" s="161" t="str"/>
      <x:c r="I12" s="161" t="str"/>
      <x:c r="J12" s="161" t="str"/>
      <x:c r="K12" s="161" t="str"/>
      <x:c r="L12" s="161" t="str"/>
      <x:c r="M12" s="161" t="str">
        <x:f>IF(COUNT(I12:L12)=0,"",SUM(I12:L12))</x:f>
      </x:c>
      <x:c r="N12" s="161" t="str">
        <x:f>IF(OR(M12="",M12=0),"",IF(M12&gt;=15,"on_track",IF(M12&gt;=11,"borderline","below_target")))</x:f>
      </x:c>
      <x:c r="O12" s="161" t="str">
        <x:f>IF(OR(M12="",M12=0),"",IF(OR(M12&lt;11,MIN(I12:L12)&lt;=1),"REVIEW","OK"))</x:f>
      </x:c>
      <x:c r="P12" s="113" t="str"/>
      <x:c r="Q12" s="113" t="str"/>
      <x:c r="R12" s="57" t="str"/>
    </x:row>
    <x:row r="13" ht="15" hidden="0" customHeight="1">
      <x:c r="A13" s="56" t="str"/>
      <x:c r="B13" s="113" t="str"/>
      <x:c r="C13" s="113" t="str"/>
      <x:c r="D13" s="113" t="str"/>
      <x:c r="E13" s="113" t="str"/>
      <x:c r="F13" s="113" t="str"/>
      <x:c r="G13" s="161" t="str"/>
      <x:c r="H13" s="161" t="str"/>
      <x:c r="I13" s="161" t="str"/>
      <x:c r="J13" s="161" t="str"/>
      <x:c r="K13" s="161" t="str"/>
      <x:c r="L13" s="161" t="str"/>
      <x:c r="M13" s="161" t="str">
        <x:f>IF(COUNT(I13:L13)=0,"",SUM(I13:L13))</x:f>
      </x:c>
      <x:c r="N13" s="161" t="str">
        <x:f>IF(OR(M13="",M13=0),"",IF(M13&gt;=15,"on_track",IF(M13&gt;=11,"borderline","below_target")))</x:f>
      </x:c>
      <x:c r="O13" s="161" t="str">
        <x:f>IF(OR(M13="",M13=0),"",IF(OR(M13&lt;11,MIN(I13:L13)&lt;=1),"REVIEW","OK"))</x:f>
      </x:c>
      <x:c r="P13" s="113" t="str"/>
      <x:c r="Q13" s="113" t="str"/>
      <x:c r="R13" s="57" t="str"/>
    </x:row>
    <x:row r="14" ht="15" hidden="0" customHeight="1">
      <x:c r="A14" s="56" t="str"/>
      <x:c r="B14" s="113" t="str"/>
      <x:c r="C14" s="113" t="str"/>
      <x:c r="D14" s="113" t="str"/>
      <x:c r="E14" s="113" t="str"/>
      <x:c r="F14" s="113" t="str"/>
      <x:c r="G14" s="161" t="str"/>
      <x:c r="H14" s="161" t="str"/>
      <x:c r="I14" s="161" t="str"/>
      <x:c r="J14" s="161" t="str"/>
      <x:c r="K14" s="161" t="str"/>
      <x:c r="L14" s="161" t="str"/>
      <x:c r="M14" s="161" t="str">
        <x:f>IF(COUNT(I14:L14)=0,"",SUM(I14:L14))</x:f>
      </x:c>
      <x:c r="N14" s="161" t="str">
        <x:f>IF(OR(M14="",M14=0),"",IF(M14&gt;=15,"on_track",IF(M14&gt;=11,"borderline","below_target")))</x:f>
      </x:c>
      <x:c r="O14" s="161" t="str">
        <x:f>IF(OR(M14="",M14=0),"",IF(OR(M14&lt;11,MIN(I14:L14)&lt;=1),"REVIEW","OK"))</x:f>
      </x:c>
      <x:c r="P14" s="113" t="str"/>
      <x:c r="Q14" s="113" t="str"/>
      <x:c r="R14" s="57" t="str"/>
    </x:row>
    <x:row r="15" ht="15" hidden="0" customHeight="1">
      <x:c r="A15" s="56" t="str"/>
      <x:c r="B15" s="113" t="str"/>
      <x:c r="C15" s="113" t="str"/>
      <x:c r="D15" s="113" t="str"/>
      <x:c r="E15" s="113" t="str"/>
      <x:c r="F15" s="113" t="str"/>
      <x:c r="G15" s="161" t="str"/>
      <x:c r="H15" s="161" t="str"/>
      <x:c r="I15" s="161" t="str"/>
      <x:c r="J15" s="161" t="str"/>
      <x:c r="K15" s="161" t="str"/>
      <x:c r="L15" s="161" t="str"/>
      <x:c r="M15" s="161" t="str">
        <x:f>IF(COUNT(I15:L15)=0,"",SUM(I15:L15))</x:f>
      </x:c>
      <x:c r="N15" s="161" t="str">
        <x:f>IF(OR(M15="",M15=0),"",IF(M15&gt;=15,"on_track",IF(M15&gt;=11,"borderline","below_target")))</x:f>
      </x:c>
      <x:c r="O15" s="161" t="str">
        <x:f>IF(OR(M15="",M15=0),"",IF(OR(M15&lt;11,MIN(I15:L15)&lt;=1),"REVIEW","OK"))</x:f>
      </x:c>
      <x:c r="P15" s="113" t="str"/>
      <x:c r="Q15" s="113" t="str"/>
      <x:c r="R15" s="57" t="str"/>
    </x:row>
    <x:row r="16" ht="15" hidden="0" customHeight="1">
      <x:c r="A16" s="56" t="str"/>
      <x:c r="B16" s="113" t="str"/>
      <x:c r="C16" s="113" t="str"/>
      <x:c r="D16" s="113" t="str"/>
      <x:c r="E16" s="113" t="str"/>
      <x:c r="F16" s="113" t="str"/>
      <x:c r="G16" s="161" t="str"/>
      <x:c r="H16" s="161" t="str"/>
      <x:c r="I16" s="161" t="str"/>
      <x:c r="J16" s="161" t="str"/>
      <x:c r="K16" s="161" t="str"/>
      <x:c r="L16" s="161" t="str"/>
      <x:c r="M16" s="161" t="str">
        <x:f>IF(COUNT(I16:L16)=0,"",SUM(I16:L16))</x:f>
      </x:c>
      <x:c r="N16" s="161" t="str">
        <x:f>IF(OR(M16="",M16=0),"",IF(M16&gt;=15,"on_track",IF(M16&gt;=11,"borderline","below_target")))</x:f>
      </x:c>
      <x:c r="O16" s="161" t="str">
        <x:f>IF(OR(M16="",M16=0),"",IF(OR(M16&lt;11,MIN(I16:L16)&lt;=1),"REVIEW","OK"))</x:f>
      </x:c>
      <x:c r="P16" s="113" t="str"/>
      <x:c r="Q16" s="113" t="str"/>
      <x:c r="R16" s="57" t="str"/>
    </x:row>
    <x:row r="17" ht="15" hidden="0" customHeight="1">
      <x:c r="A17" s="56" t="str"/>
      <x:c r="B17" s="113" t="str"/>
      <x:c r="C17" s="113" t="str"/>
      <x:c r="D17" s="113" t="str"/>
      <x:c r="E17" s="113" t="str"/>
      <x:c r="F17" s="113" t="str"/>
      <x:c r="G17" s="161" t="str"/>
      <x:c r="H17" s="161" t="str"/>
      <x:c r="I17" s="161" t="str"/>
      <x:c r="J17" s="161" t="str"/>
      <x:c r="K17" s="161" t="str"/>
      <x:c r="L17" s="161" t="str"/>
      <x:c r="M17" s="161" t="str">
        <x:f>IF(COUNT(I17:L17)=0,"",SUM(I17:L17))</x:f>
      </x:c>
      <x:c r="N17" s="161" t="str">
        <x:f>IF(OR(M17="",M17=0),"",IF(M17&gt;=15,"on_track",IF(M17&gt;=11,"borderline","below_target")))</x:f>
      </x:c>
      <x:c r="O17" s="161" t="str">
        <x:f>IF(OR(M17="",M17=0),"",IF(OR(M17&lt;11,MIN(I17:L17)&lt;=1),"REVIEW","OK"))</x:f>
      </x:c>
      <x:c r="P17" s="113" t="str"/>
      <x:c r="Q17" s="113" t="str"/>
      <x:c r="R17" s="57" t="str"/>
    </x:row>
    <x:row r="18" ht="15" hidden="0" customHeight="1">
      <x:c r="A18" s="56" t="str"/>
      <x:c r="B18" s="113" t="str"/>
      <x:c r="C18" s="113" t="str"/>
      <x:c r="D18" s="113" t="str"/>
      <x:c r="E18" s="113" t="str"/>
      <x:c r="F18" s="113" t="str"/>
      <x:c r="G18" s="161" t="str"/>
      <x:c r="H18" s="161" t="str"/>
      <x:c r="I18" s="161" t="str"/>
      <x:c r="J18" s="161" t="str"/>
      <x:c r="K18" s="161" t="str"/>
      <x:c r="L18" s="161" t="str"/>
      <x:c r="M18" s="161" t="str">
        <x:f>IF(COUNT(I18:L18)=0,"",SUM(I18:L18))</x:f>
      </x:c>
      <x:c r="N18" s="161" t="str">
        <x:f>IF(OR(M18="",M18=0),"",IF(M18&gt;=15,"on_track",IF(M18&gt;=11,"borderline","below_target")))</x:f>
      </x:c>
      <x:c r="O18" s="161" t="str">
        <x:f>IF(OR(M18="",M18=0),"",IF(OR(M18&lt;11,MIN(I18:L18)&lt;=1),"REVIEW","OK"))</x:f>
      </x:c>
      <x:c r="P18" s="113" t="str"/>
      <x:c r="Q18" s="113" t="str"/>
      <x:c r="R18" s="57" t="str"/>
    </x:row>
    <x:row r="19" ht="15" hidden="0" customHeight="1">
      <x:c r="A19" s="56" t="str"/>
      <x:c r="B19" s="113" t="str"/>
      <x:c r="C19" s="113" t="str"/>
      <x:c r="D19" s="113" t="str"/>
      <x:c r="E19" s="113" t="str"/>
      <x:c r="F19" s="113" t="str"/>
      <x:c r="G19" s="161" t="str"/>
      <x:c r="H19" s="161" t="str"/>
      <x:c r="I19" s="161" t="str"/>
      <x:c r="J19" s="161" t="str"/>
      <x:c r="K19" s="161" t="str"/>
      <x:c r="L19" s="161" t="str"/>
      <x:c r="M19" s="161" t="str">
        <x:f>IF(COUNT(I19:L19)=0,"",SUM(I19:L19))</x:f>
      </x:c>
      <x:c r="N19" s="161" t="str">
        <x:f>IF(OR(M19="",M19=0),"",IF(M19&gt;=15,"on_track",IF(M19&gt;=11,"borderline","below_target")))</x:f>
      </x:c>
      <x:c r="O19" s="161" t="str">
        <x:f>IF(OR(M19="",M19=0),"",IF(OR(M19&lt;11,MIN(I19:L19)&lt;=1),"REVIEW","OK"))</x:f>
      </x:c>
      <x:c r="P19" s="113" t="str"/>
      <x:c r="Q19" s="113" t="str"/>
      <x:c r="R19" s="57" t="str"/>
    </x:row>
    <x:row r="20" ht="15" hidden="0" customHeight="1">
      <x:c r="A20" s="56" t="str"/>
      <x:c r="B20" s="113" t="str"/>
      <x:c r="C20" s="113" t="str"/>
      <x:c r="D20" s="113" t="str"/>
      <x:c r="E20" s="113" t="str"/>
      <x:c r="F20" s="113" t="str"/>
      <x:c r="G20" s="161" t="str"/>
      <x:c r="H20" s="161" t="str"/>
      <x:c r="I20" s="161" t="str"/>
      <x:c r="J20" s="161" t="str"/>
      <x:c r="K20" s="161" t="str"/>
      <x:c r="L20" s="161" t="str"/>
      <x:c r="M20" s="161" t="str">
        <x:f>IF(COUNT(I20:L20)=0,"",SUM(I20:L20))</x:f>
      </x:c>
      <x:c r="N20" s="161" t="str">
        <x:f>IF(OR(M20="",M20=0),"",IF(M20&gt;=15,"on_track",IF(M20&gt;=11,"borderline","below_target")))</x:f>
      </x:c>
      <x:c r="O20" s="161" t="str">
        <x:f>IF(OR(M20="",M20=0),"",IF(OR(M20&lt;11,MIN(I20:L20)&lt;=1),"REVIEW","OK"))</x:f>
      </x:c>
      <x:c r="P20" s="113" t="str"/>
      <x:c r="Q20" s="113" t="str"/>
      <x:c r="R20" s="57" t="str"/>
    </x:row>
    <x:row r="21" ht="15" hidden="0" customHeight="1">
      <x:c r="A21" s="56" t="str"/>
      <x:c r="B21" s="113" t="str"/>
      <x:c r="C21" s="113" t="str"/>
      <x:c r="D21" s="113" t="str"/>
      <x:c r="E21" s="113" t="str"/>
      <x:c r="F21" s="113" t="str"/>
      <x:c r="G21" s="161" t="str"/>
      <x:c r="H21" s="161" t="str"/>
      <x:c r="I21" s="161" t="str"/>
      <x:c r="J21" s="161" t="str"/>
      <x:c r="K21" s="161" t="str"/>
      <x:c r="L21" s="161" t="str"/>
      <x:c r="M21" s="161" t="str">
        <x:f>IF(COUNT(I21:L21)=0,"",SUM(I21:L21))</x:f>
      </x:c>
      <x:c r="N21" s="161" t="str">
        <x:f>IF(OR(M21="",M21=0),"",IF(M21&gt;=15,"on_track",IF(M21&gt;=11,"borderline","below_target")))</x:f>
      </x:c>
      <x:c r="O21" s="161" t="str">
        <x:f>IF(OR(M21="",M21=0),"",IF(OR(M21&lt;11,MIN(I21:L21)&lt;=1),"REVIEW","OK"))</x:f>
      </x:c>
      <x:c r="P21" s="113" t="str"/>
      <x:c r="Q21" s="113" t="str"/>
      <x:c r="R21" s="57" t="str"/>
    </x:row>
    <x:row r="22" ht="15" hidden="0" customHeight="1">
      <x:c r="A22" s="56" t="str"/>
      <x:c r="B22" s="113" t="str"/>
      <x:c r="C22" s="113" t="str"/>
      <x:c r="D22" s="113" t="str"/>
      <x:c r="E22" s="113" t="str"/>
      <x:c r="F22" s="113" t="str"/>
      <x:c r="G22" s="161" t="str"/>
      <x:c r="H22" s="161" t="str"/>
      <x:c r="I22" s="161" t="str"/>
      <x:c r="J22" s="161" t="str"/>
      <x:c r="K22" s="161" t="str"/>
      <x:c r="L22" s="161" t="str"/>
      <x:c r="M22" s="161" t="str">
        <x:f>IF(COUNT(I22:L22)=0,"",SUM(I22:L22))</x:f>
      </x:c>
      <x:c r="N22" s="161" t="str">
        <x:f>IF(OR(M22="",M22=0),"",IF(M22&gt;=15,"on_track",IF(M22&gt;=11,"borderline","below_target")))</x:f>
      </x:c>
      <x:c r="O22" s="161" t="str">
        <x:f>IF(OR(M22="",M22=0),"",IF(OR(M22&lt;11,MIN(I22:L22)&lt;=1),"REVIEW","OK"))</x:f>
      </x:c>
      <x:c r="P22" s="113" t="str"/>
      <x:c r="Q22" s="113" t="str"/>
      <x:c r="R22" s="57" t="str"/>
    </x:row>
    <x:row r="23" ht="15" hidden="0" customHeight="1">
      <x:c r="A23" s="56" t="str"/>
      <x:c r="B23" s="113" t="str"/>
      <x:c r="C23" s="113" t="str"/>
      <x:c r="D23" s="113" t="str"/>
      <x:c r="E23" s="113" t="str"/>
      <x:c r="F23" s="113" t="str"/>
      <x:c r="G23" s="161" t="str"/>
      <x:c r="H23" s="161" t="str"/>
      <x:c r="I23" s="161" t="str"/>
      <x:c r="J23" s="161" t="str"/>
      <x:c r="K23" s="161" t="str"/>
      <x:c r="L23" s="161" t="str"/>
      <x:c r="M23" s="161" t="str">
        <x:f>IF(COUNT(I23:L23)=0,"",SUM(I23:L23))</x:f>
      </x:c>
      <x:c r="N23" s="161" t="str">
        <x:f>IF(OR(M23="",M23=0),"",IF(M23&gt;=15,"on_track",IF(M23&gt;=11,"borderline","below_target")))</x:f>
      </x:c>
      <x:c r="O23" s="161" t="str">
        <x:f>IF(OR(M23="",M23=0),"",IF(OR(M23&lt;11,MIN(I23:L23)&lt;=1),"REVIEW","OK"))</x:f>
      </x:c>
      <x:c r="P23" s="113" t="str"/>
      <x:c r="Q23" s="113" t="str"/>
      <x:c r="R23" s="57" t="str"/>
    </x:row>
    <x:row r="24" ht="15" hidden="0" customHeight="1">
      <x:c r="A24" s="56" t="str"/>
      <x:c r="B24" s="113" t="str"/>
      <x:c r="C24" s="113" t="str"/>
      <x:c r="D24" s="113" t="str"/>
      <x:c r="E24" s="113" t="str"/>
      <x:c r="F24" s="113" t="str"/>
      <x:c r="G24" s="161" t="str"/>
      <x:c r="H24" s="161" t="str"/>
      <x:c r="I24" s="161" t="str"/>
      <x:c r="J24" s="161" t="str"/>
      <x:c r="K24" s="161" t="str"/>
      <x:c r="L24" s="161" t="str"/>
      <x:c r="M24" s="161" t="str">
        <x:f>IF(COUNT(I24:L24)=0,"",SUM(I24:L24))</x:f>
      </x:c>
      <x:c r="N24" s="161" t="str">
        <x:f>IF(OR(M24="",M24=0),"",IF(M24&gt;=15,"on_track",IF(M24&gt;=11,"borderline","below_target")))</x:f>
      </x:c>
      <x:c r="O24" s="161" t="str">
        <x:f>IF(OR(M24="",M24=0),"",IF(OR(M24&lt;11,MIN(I24:L24)&lt;=1),"REVIEW","OK"))</x:f>
      </x:c>
      <x:c r="P24" s="113" t="str"/>
      <x:c r="Q24" s="113" t="str"/>
      <x:c r="R24" s="57" t="str"/>
    </x:row>
    <x:row r="25" ht="15" hidden="0" customHeight="1">
      <x:c r="A25" s="56" t="str"/>
      <x:c r="B25" s="113" t="str"/>
      <x:c r="C25" s="113" t="str"/>
      <x:c r="D25" s="113" t="str"/>
      <x:c r="E25" s="113" t="str"/>
      <x:c r="F25" s="113" t="str"/>
      <x:c r="G25" s="161" t="str"/>
      <x:c r="H25" s="161" t="str"/>
      <x:c r="I25" s="161" t="str"/>
      <x:c r="J25" s="161" t="str"/>
      <x:c r="K25" s="161" t="str"/>
      <x:c r="L25" s="161" t="str"/>
      <x:c r="M25" s="161" t="str">
        <x:f>IF(COUNT(I25:L25)=0,"",SUM(I25:L25))</x:f>
      </x:c>
      <x:c r="N25" s="161" t="str">
        <x:f>IF(OR(M25="",M25=0),"",IF(M25&gt;=15,"on_track",IF(M25&gt;=11,"borderline","below_target")))</x:f>
      </x:c>
      <x:c r="O25" s="161" t="str">
        <x:f>IF(OR(M25="",M25=0),"",IF(OR(M25&lt;11,MIN(I25:L25)&lt;=1),"REVIEW","OK"))</x:f>
      </x:c>
      <x:c r="P25" s="113" t="str"/>
      <x:c r="Q25" s="113" t="str"/>
      <x:c r="R25" s="57" t="str"/>
    </x:row>
    <x:row r="26" ht="15" hidden="0" customHeight="1">
      <x:c r="A26" s="56" t="str"/>
      <x:c r="B26" s="113" t="str"/>
      <x:c r="C26" s="113" t="str"/>
      <x:c r="D26" s="113" t="str"/>
      <x:c r="E26" s="113" t="str"/>
      <x:c r="F26" s="113" t="str"/>
      <x:c r="G26" s="161" t="str"/>
      <x:c r="H26" s="161" t="str"/>
      <x:c r="I26" s="161" t="str"/>
      <x:c r="J26" s="161" t="str"/>
      <x:c r="K26" s="161" t="str"/>
      <x:c r="L26" s="161" t="str"/>
      <x:c r="M26" s="161" t="str">
        <x:f>IF(COUNT(I26:L26)=0,"",SUM(I26:L26))</x:f>
      </x:c>
      <x:c r="N26" s="161" t="str">
        <x:f>IF(OR(M26="",M26=0),"",IF(M26&gt;=15,"on_track",IF(M26&gt;=11,"borderline","below_target")))</x:f>
      </x:c>
      <x:c r="O26" s="161" t="str">
        <x:f>IF(OR(M26="",M26=0),"",IF(OR(M26&lt;11,MIN(I26:L26)&lt;=1),"REVIEW","OK"))</x:f>
      </x:c>
      <x:c r="P26" s="113" t="str"/>
      <x:c r="Q26" s="113" t="str"/>
      <x:c r="R26" s="57" t="str"/>
    </x:row>
    <x:row r="27" ht="15" hidden="0" customHeight="1">
      <x:c r="A27" s="56" t="str"/>
      <x:c r="B27" s="113" t="str"/>
      <x:c r="C27" s="113" t="str"/>
      <x:c r="D27" s="113" t="str"/>
      <x:c r="E27" s="113" t="str"/>
      <x:c r="F27" s="113" t="str"/>
      <x:c r="G27" s="161" t="str"/>
      <x:c r="H27" s="161" t="str"/>
      <x:c r="I27" s="161" t="str"/>
      <x:c r="J27" s="161" t="str"/>
      <x:c r="K27" s="161" t="str"/>
      <x:c r="L27" s="161" t="str"/>
      <x:c r="M27" s="161" t="str">
        <x:f>IF(COUNT(I27:L27)=0,"",SUM(I27:L27))</x:f>
      </x:c>
      <x:c r="N27" s="161" t="str">
        <x:f>IF(OR(M27="",M27=0),"",IF(M27&gt;=15,"on_track",IF(M27&gt;=11,"borderline","below_target")))</x:f>
      </x:c>
      <x:c r="O27" s="161" t="str">
        <x:f>IF(OR(M27="",M27=0),"",IF(OR(M27&lt;11,MIN(I27:L27)&lt;=1),"REVIEW","OK"))</x:f>
      </x:c>
      <x:c r="P27" s="113" t="str"/>
      <x:c r="Q27" s="113" t="str"/>
      <x:c r="R27" s="57" t="str"/>
    </x:row>
    <x:row r="28" ht="15" hidden="0" customHeight="1">
      <x:c r="A28" s="56" t="str"/>
      <x:c r="B28" s="113" t="str"/>
      <x:c r="C28" s="113" t="str"/>
      <x:c r="D28" s="113" t="str"/>
      <x:c r="E28" s="113" t="str"/>
      <x:c r="F28" s="113" t="str"/>
      <x:c r="G28" s="161" t="str"/>
      <x:c r="H28" s="161" t="str"/>
      <x:c r="I28" s="161" t="str"/>
      <x:c r="J28" s="161" t="str"/>
      <x:c r="K28" s="161" t="str"/>
      <x:c r="L28" s="161" t="str"/>
      <x:c r="M28" s="161" t="str">
        <x:f>IF(COUNT(I28:L28)=0,"",SUM(I28:L28))</x:f>
      </x:c>
      <x:c r="N28" s="161" t="str">
        <x:f>IF(OR(M28="",M28=0),"",IF(M28&gt;=15,"on_track",IF(M28&gt;=11,"borderline","below_target")))</x:f>
      </x:c>
      <x:c r="O28" s="161" t="str">
        <x:f>IF(OR(M28="",M28=0),"",IF(OR(M28&lt;11,MIN(I28:L28)&lt;=1),"REVIEW","OK"))</x:f>
      </x:c>
      <x:c r="P28" s="113" t="str"/>
      <x:c r="Q28" s="113" t="str"/>
      <x:c r="R28" s="57" t="str"/>
    </x:row>
    <x:row r="29" ht="15" hidden="0" customHeight="1">
      <x:c r="A29" s="56" t="str"/>
      <x:c r="B29" s="113" t="str"/>
      <x:c r="C29" s="113" t="str"/>
      <x:c r="D29" s="113" t="str"/>
      <x:c r="E29" s="113" t="str"/>
      <x:c r="F29" s="113" t="str"/>
      <x:c r="G29" s="161" t="str"/>
      <x:c r="H29" s="161" t="str"/>
      <x:c r="I29" s="161" t="str"/>
      <x:c r="J29" s="161" t="str"/>
      <x:c r="K29" s="161" t="str"/>
      <x:c r="L29" s="161" t="str"/>
      <x:c r="M29" s="161" t="str">
        <x:f>IF(COUNT(I29:L29)=0,"",SUM(I29:L29))</x:f>
      </x:c>
      <x:c r="N29" s="161" t="str">
        <x:f>IF(OR(M29="",M29=0),"",IF(M29&gt;=15,"on_track",IF(M29&gt;=11,"borderline","below_target")))</x:f>
      </x:c>
      <x:c r="O29" s="161" t="str">
        <x:f>IF(OR(M29="",M29=0),"",IF(OR(M29&lt;11,MIN(I29:L29)&lt;=1),"REVIEW","OK"))</x:f>
      </x:c>
      <x:c r="P29" s="113" t="str"/>
      <x:c r="Q29" s="113" t="str"/>
      <x:c r="R29" s="57" t="str"/>
    </x:row>
    <x:row r="30" ht="15" hidden="0" customHeight="1">
      <x:c r="A30" s="56" t="str"/>
      <x:c r="B30" s="113" t="str"/>
      <x:c r="C30" s="113" t="str"/>
      <x:c r="D30" s="113" t="str"/>
      <x:c r="E30" s="113" t="str"/>
      <x:c r="F30" s="113" t="str"/>
      <x:c r="G30" s="161" t="str"/>
      <x:c r="H30" s="161" t="str"/>
      <x:c r="I30" s="161" t="str"/>
      <x:c r="J30" s="161" t="str"/>
      <x:c r="K30" s="161" t="str"/>
      <x:c r="L30" s="161" t="str"/>
      <x:c r="M30" s="161" t="str">
        <x:f>IF(COUNT(I30:L30)=0,"",SUM(I30:L30))</x:f>
      </x:c>
      <x:c r="N30" s="161" t="str">
        <x:f>IF(OR(M30="",M30=0),"",IF(M30&gt;=15,"on_track",IF(M30&gt;=11,"borderline","below_target")))</x:f>
      </x:c>
      <x:c r="O30" s="161" t="str">
        <x:f>IF(OR(M30="",M30=0),"",IF(OR(M30&lt;11,MIN(I30:L30)&lt;=1),"REVIEW","OK"))</x:f>
      </x:c>
      <x:c r="P30" s="113" t="str"/>
      <x:c r="Q30" s="113" t="str"/>
      <x:c r="R30" s="57" t="str"/>
    </x:row>
    <x:row r="31" ht="15" hidden="0" customHeight="1">
      <x:c r="A31" s="56" t="str"/>
      <x:c r="B31" s="113" t="str"/>
      <x:c r="C31" s="113" t="str"/>
      <x:c r="D31" s="113" t="str"/>
      <x:c r="E31" s="113" t="str"/>
      <x:c r="F31" s="113" t="str"/>
      <x:c r="G31" s="161" t="str"/>
      <x:c r="H31" s="161" t="str"/>
      <x:c r="I31" s="161" t="str"/>
      <x:c r="J31" s="161" t="str"/>
      <x:c r="K31" s="161" t="str"/>
      <x:c r="L31" s="161" t="str"/>
      <x:c r="M31" s="161" t="str">
        <x:f>IF(COUNT(I31:L31)=0,"",SUM(I31:L31))</x:f>
      </x:c>
      <x:c r="N31" s="161" t="str">
        <x:f>IF(OR(M31="",M31=0),"",IF(M31&gt;=15,"on_track",IF(M31&gt;=11,"borderline","below_target")))</x:f>
      </x:c>
      <x:c r="O31" s="161" t="str">
        <x:f>IF(OR(M31="",M31=0),"",IF(OR(M31&lt;11,MIN(I31:L31)&lt;=1),"REVIEW","OK"))</x:f>
      </x:c>
      <x:c r="P31" s="113" t="str"/>
      <x:c r="Q31" s="113" t="str"/>
      <x:c r="R31" s="57" t="str"/>
    </x:row>
    <x:row r="32" ht="15" hidden="0" customHeight="1">
      <x:c r="A32" s="56" t="str"/>
      <x:c r="B32" s="113" t="str"/>
      <x:c r="C32" s="113" t="str"/>
      <x:c r="D32" s="113" t="str"/>
      <x:c r="E32" s="113" t="str"/>
      <x:c r="F32" s="113" t="str"/>
      <x:c r="G32" s="161" t="str"/>
      <x:c r="H32" s="161" t="str"/>
      <x:c r="I32" s="161" t="str"/>
      <x:c r="J32" s="161" t="str"/>
      <x:c r="K32" s="161" t="str"/>
      <x:c r="L32" s="161" t="str"/>
      <x:c r="M32" s="161" t="str">
        <x:f>IF(COUNT(I32:L32)=0,"",SUM(I32:L32))</x:f>
      </x:c>
      <x:c r="N32" s="161" t="str">
        <x:f>IF(OR(M32="",M32=0),"",IF(M32&gt;=15,"on_track",IF(M32&gt;=11,"borderline","below_target")))</x:f>
      </x:c>
      <x:c r="O32" s="161" t="str">
        <x:f>IF(OR(M32="",M32=0),"",IF(OR(M32&lt;11,MIN(I32:L32)&lt;=1),"REVIEW","OK"))</x:f>
      </x:c>
      <x:c r="P32" s="113" t="str"/>
      <x:c r="Q32" s="113" t="str"/>
      <x:c r="R32" s="57" t="str"/>
    </x:row>
    <x:row r="33" ht="15" hidden="0" customHeight="1">
      <x:c r="A33" s="56" t="str"/>
      <x:c r="B33" s="113" t="str"/>
      <x:c r="C33" s="113" t="str"/>
      <x:c r="D33" s="113" t="str"/>
      <x:c r="E33" s="113" t="str"/>
      <x:c r="F33" s="113" t="str"/>
      <x:c r="G33" s="161" t="str"/>
      <x:c r="H33" s="161" t="str"/>
      <x:c r="I33" s="161" t="str"/>
      <x:c r="J33" s="161" t="str"/>
      <x:c r="K33" s="161" t="str"/>
      <x:c r="L33" s="161" t="str"/>
      <x:c r="M33" s="161" t="str">
        <x:f>IF(COUNT(I33:L33)=0,"",SUM(I33:L33))</x:f>
      </x:c>
      <x:c r="N33" s="161" t="str">
        <x:f>IF(OR(M33="",M33=0),"",IF(M33&gt;=15,"on_track",IF(M33&gt;=11,"borderline","below_target")))</x:f>
      </x:c>
      <x:c r="O33" s="161" t="str">
        <x:f>IF(OR(M33="",M33=0),"",IF(OR(M33&lt;11,MIN(I33:L33)&lt;=1),"REVIEW","OK"))</x:f>
      </x:c>
      <x:c r="P33" s="113" t="str"/>
      <x:c r="Q33" s="113" t="str"/>
      <x:c r="R33" s="57" t="str"/>
    </x:row>
    <x:row r="34" ht="15" hidden="0" customHeight="1">
      <x:c r="A34" s="56" t="str"/>
      <x:c r="B34" s="113" t="str"/>
      <x:c r="C34" s="113" t="str"/>
      <x:c r="D34" s="113" t="str"/>
      <x:c r="E34" s="113" t="str"/>
      <x:c r="F34" s="113" t="str"/>
      <x:c r="G34" s="161" t="str"/>
      <x:c r="H34" s="161" t="str"/>
      <x:c r="I34" s="161" t="str"/>
      <x:c r="J34" s="161" t="str"/>
      <x:c r="K34" s="161" t="str"/>
      <x:c r="L34" s="161" t="str"/>
      <x:c r="M34" s="161" t="str">
        <x:f>IF(COUNT(I34:L34)=0,"",SUM(I34:L34))</x:f>
      </x:c>
      <x:c r="N34" s="161" t="str">
        <x:f>IF(OR(M34="",M34=0),"",IF(M34&gt;=15,"on_track",IF(M34&gt;=11,"borderline","below_target")))</x:f>
      </x:c>
      <x:c r="O34" s="161" t="str">
        <x:f>IF(OR(M34="",M34=0),"",IF(OR(M34&lt;11,MIN(I34:L34)&lt;=1),"REVIEW","OK"))</x:f>
      </x:c>
      <x:c r="P34" s="113" t="str"/>
      <x:c r="Q34" s="113" t="str"/>
      <x:c r="R34" s="57" t="str"/>
    </x:row>
    <x:row r="35" ht="15" hidden="0" customHeight="1">
      <x:c r="A35" s="56" t="str"/>
      <x:c r="B35" s="113" t="str"/>
      <x:c r="C35" s="113" t="str"/>
      <x:c r="D35" s="113" t="str"/>
      <x:c r="E35" s="113" t="str"/>
      <x:c r="F35" s="113" t="str"/>
      <x:c r="G35" s="161" t="str"/>
      <x:c r="H35" s="161" t="str"/>
      <x:c r="I35" s="161" t="str"/>
      <x:c r="J35" s="161" t="str"/>
      <x:c r="K35" s="161" t="str"/>
      <x:c r="L35" s="161" t="str"/>
      <x:c r="M35" s="161" t="str">
        <x:f>IF(COUNT(I35:L35)=0,"",SUM(I35:L35))</x:f>
      </x:c>
      <x:c r="N35" s="161" t="str">
        <x:f>IF(OR(M35="",M35=0),"",IF(M35&gt;=15,"on_track",IF(M35&gt;=11,"borderline","below_target")))</x:f>
      </x:c>
      <x:c r="O35" s="161" t="str">
        <x:f>IF(OR(M35="",M35=0),"",IF(OR(M35&lt;11,MIN(I35:L35)&lt;=1),"REVIEW","OK"))</x:f>
      </x:c>
      <x:c r="P35" s="113" t="str"/>
      <x:c r="Q35" s="113" t="str"/>
      <x:c r="R35" s="57" t="str"/>
    </x:row>
    <x:row r="36" ht="15" hidden="0" customHeight="1">
      <x:c r="A36" s="56" t="str"/>
      <x:c r="B36" s="113" t="str"/>
      <x:c r="C36" s="113" t="str"/>
      <x:c r="D36" s="113" t="str"/>
      <x:c r="E36" s="113" t="str"/>
      <x:c r="F36" s="113" t="str"/>
      <x:c r="G36" s="161" t="str"/>
      <x:c r="H36" s="161" t="str"/>
      <x:c r="I36" s="161" t="str"/>
      <x:c r="J36" s="161" t="str"/>
      <x:c r="K36" s="161" t="str"/>
      <x:c r="L36" s="161" t="str"/>
      <x:c r="M36" s="161" t="str">
        <x:f>IF(COUNT(I36:L36)=0,"",SUM(I36:L36))</x:f>
      </x:c>
      <x:c r="N36" s="161" t="str">
        <x:f>IF(OR(M36="",M36=0),"",IF(M36&gt;=15,"on_track",IF(M36&gt;=11,"borderline","below_target")))</x:f>
      </x:c>
      <x:c r="O36" s="161" t="str">
        <x:f>IF(OR(M36="",M36=0),"",IF(OR(M36&lt;11,MIN(I36:L36)&lt;=1),"REVIEW","OK"))</x:f>
      </x:c>
      <x:c r="P36" s="113" t="str"/>
      <x:c r="Q36" s="113" t="str"/>
      <x:c r="R36" s="57" t="str"/>
    </x:row>
    <x:row r="37" ht="15" hidden="0" customHeight="1">
      <x:c r="A37" s="56" t="str"/>
      <x:c r="B37" s="113" t="str"/>
      <x:c r="C37" s="113" t="str"/>
      <x:c r="D37" s="113" t="str"/>
      <x:c r="E37" s="113" t="str"/>
      <x:c r="F37" s="113" t="str"/>
      <x:c r="G37" s="161" t="str"/>
      <x:c r="H37" s="161" t="str"/>
      <x:c r="I37" s="161" t="str"/>
      <x:c r="J37" s="161" t="str"/>
      <x:c r="K37" s="161" t="str"/>
      <x:c r="L37" s="161" t="str"/>
      <x:c r="M37" s="161" t="str">
        <x:f>IF(COUNT(I37:L37)=0,"",SUM(I37:L37))</x:f>
      </x:c>
      <x:c r="N37" s="161" t="str">
        <x:f>IF(OR(M37="",M37=0),"",IF(M37&gt;=15,"on_track",IF(M37&gt;=11,"borderline","below_target")))</x:f>
      </x:c>
      <x:c r="O37" s="161" t="str">
        <x:f>IF(OR(M37="",M37=0),"",IF(OR(M37&lt;11,MIN(I37:L37)&lt;=1),"REVIEW","OK"))</x:f>
      </x:c>
      <x:c r="P37" s="113" t="str"/>
      <x:c r="Q37" s="113" t="str"/>
      <x:c r="R37" s="57" t="str"/>
    </x:row>
    <x:row r="38" ht="15" hidden="0" customHeight="1">
      <x:c r="A38" s="56" t="str"/>
      <x:c r="B38" s="113" t="str"/>
      <x:c r="C38" s="113" t="str"/>
      <x:c r="D38" s="113" t="str"/>
      <x:c r="E38" s="113" t="str"/>
      <x:c r="F38" s="113" t="str"/>
      <x:c r="G38" s="161" t="str"/>
      <x:c r="H38" s="161" t="str"/>
      <x:c r="I38" s="161" t="str"/>
      <x:c r="J38" s="161" t="str"/>
      <x:c r="K38" s="161" t="str"/>
      <x:c r="L38" s="161" t="str"/>
      <x:c r="M38" s="161" t="str">
        <x:f>IF(COUNT(I38:L38)=0,"",SUM(I38:L38))</x:f>
      </x:c>
      <x:c r="N38" s="161" t="str">
        <x:f>IF(OR(M38="",M38=0),"",IF(M38&gt;=15,"on_track",IF(M38&gt;=11,"borderline","below_target")))</x:f>
      </x:c>
      <x:c r="O38" s="161" t="str">
        <x:f>IF(OR(M38="",M38=0),"",IF(OR(M38&lt;11,MIN(I38:L38)&lt;=1),"REVIEW","OK"))</x:f>
      </x:c>
      <x:c r="P38" s="113" t="str"/>
      <x:c r="Q38" s="113" t="str"/>
      <x:c r="R38" s="57" t="str"/>
    </x:row>
    <x:row r="39" ht="15" hidden="0" customHeight="1">
      <x:c r="A39" s="56" t="str"/>
      <x:c r="B39" s="113" t="str"/>
      <x:c r="C39" s="113" t="str"/>
      <x:c r="D39" s="113" t="str"/>
      <x:c r="E39" s="113" t="str"/>
      <x:c r="F39" s="113" t="str"/>
      <x:c r="G39" s="161" t="str"/>
      <x:c r="H39" s="161" t="str"/>
      <x:c r="I39" s="161" t="str"/>
      <x:c r="J39" s="161" t="str"/>
      <x:c r="K39" s="161" t="str"/>
      <x:c r="L39" s="161" t="str"/>
      <x:c r="M39" s="161" t="str">
        <x:f>IF(COUNT(I39:L39)=0,"",SUM(I39:L39))</x:f>
      </x:c>
      <x:c r="N39" s="161" t="str">
        <x:f>IF(OR(M39="",M39=0),"",IF(M39&gt;=15,"on_track",IF(M39&gt;=11,"borderline","below_target")))</x:f>
      </x:c>
      <x:c r="O39" s="161" t="str">
        <x:f>IF(OR(M39="",M39=0),"",IF(OR(M39&lt;11,MIN(I39:L39)&lt;=1),"REVIEW","OK"))</x:f>
      </x:c>
      <x:c r="P39" s="113" t="str"/>
      <x:c r="Q39" s="113" t="str"/>
      <x:c r="R39" s="57" t="str"/>
    </x:row>
    <x:row r="40" ht="15" hidden="0" customHeight="1">
      <x:c r="A40" s="56" t="str"/>
      <x:c r="B40" s="113" t="str"/>
      <x:c r="C40" s="113" t="str"/>
      <x:c r="D40" s="113" t="str"/>
      <x:c r="E40" s="113" t="str"/>
      <x:c r="F40" s="113" t="str"/>
      <x:c r="G40" s="161" t="str"/>
      <x:c r="H40" s="161" t="str"/>
      <x:c r="I40" s="161" t="str"/>
      <x:c r="J40" s="161" t="str"/>
      <x:c r="K40" s="161" t="str"/>
      <x:c r="L40" s="161" t="str"/>
      <x:c r="M40" s="161" t="str">
        <x:f>IF(COUNT(I40:L40)=0,"",SUM(I40:L40))</x:f>
      </x:c>
      <x:c r="N40" s="161" t="str">
        <x:f>IF(OR(M40="",M40=0),"",IF(M40&gt;=15,"on_track",IF(M40&gt;=11,"borderline","below_target")))</x:f>
      </x:c>
      <x:c r="O40" s="161" t="str">
        <x:f>IF(OR(M40="",M40=0),"",IF(OR(M40&lt;11,MIN(I40:L40)&lt;=1),"REVIEW","OK"))</x:f>
      </x:c>
      <x:c r="P40" s="113" t="str"/>
      <x:c r="Q40" s="113" t="str"/>
      <x:c r="R40" s="57" t="str"/>
    </x:row>
    <x:row r="41" ht="15" hidden="0" customHeight="1">
      <x:c r="A41" s="56" t="str"/>
      <x:c r="B41" s="113" t="str"/>
      <x:c r="C41" s="113" t="str"/>
      <x:c r="D41" s="113" t="str"/>
      <x:c r="E41" s="113" t="str"/>
      <x:c r="F41" s="113" t="str"/>
      <x:c r="G41" s="161" t="str"/>
      <x:c r="H41" s="161" t="str"/>
      <x:c r="I41" s="161" t="str"/>
      <x:c r="J41" s="161" t="str"/>
      <x:c r="K41" s="161" t="str"/>
      <x:c r="L41" s="161" t="str"/>
      <x:c r="M41" s="161" t="str">
        <x:f>IF(COUNT(I41:L41)=0,"",SUM(I41:L41))</x:f>
      </x:c>
      <x:c r="N41" s="161" t="str">
        <x:f>IF(OR(M41="",M41=0),"",IF(M41&gt;=15,"on_track",IF(M41&gt;=11,"borderline","below_target")))</x:f>
      </x:c>
      <x:c r="O41" s="161" t="str">
        <x:f>IF(OR(M41="",M41=0),"",IF(OR(M41&lt;11,MIN(I41:L41)&lt;=1),"REVIEW","OK"))</x:f>
      </x:c>
      <x:c r="P41" s="113" t="str"/>
      <x:c r="Q41" s="113" t="str"/>
      <x:c r="R41" s="57" t="str"/>
    </x:row>
    <x:row r="42" ht="15" hidden="0" customHeight="1">
      <x:c r="A42" s="56" t="str"/>
      <x:c r="B42" s="113" t="str"/>
      <x:c r="C42" s="113" t="str"/>
      <x:c r="D42" s="113" t="str"/>
      <x:c r="E42" s="113" t="str"/>
      <x:c r="F42" s="113" t="str"/>
      <x:c r="G42" s="161" t="str"/>
      <x:c r="H42" s="161" t="str"/>
      <x:c r="I42" s="161" t="str"/>
      <x:c r="J42" s="161" t="str"/>
      <x:c r="K42" s="161" t="str"/>
      <x:c r="L42" s="161" t="str"/>
      <x:c r="M42" s="161" t="str">
        <x:f>IF(COUNT(I42:L42)=0,"",SUM(I42:L42))</x:f>
      </x:c>
      <x:c r="N42" s="161" t="str">
        <x:f>IF(OR(M42="",M42=0),"",IF(M42&gt;=15,"on_track",IF(M42&gt;=11,"borderline","below_target")))</x:f>
      </x:c>
      <x:c r="O42" s="161" t="str">
        <x:f>IF(OR(M42="",M42=0),"",IF(OR(M42&lt;11,MIN(I42:L42)&lt;=1),"REVIEW","OK"))</x:f>
      </x:c>
      <x:c r="P42" s="113" t="str"/>
      <x:c r="Q42" s="113" t="str"/>
      <x:c r="R42" s="57" t="str"/>
    </x:row>
    <x:row r="43" ht="15" hidden="0" customHeight="1">
      <x:c r="A43" s="56" t="str"/>
      <x:c r="B43" s="113" t="str"/>
      <x:c r="C43" s="113" t="str"/>
      <x:c r="D43" s="113" t="str"/>
      <x:c r="E43" s="113" t="str"/>
      <x:c r="F43" s="113" t="str"/>
      <x:c r="G43" s="161" t="str"/>
      <x:c r="H43" s="161" t="str"/>
      <x:c r="I43" s="161" t="str"/>
      <x:c r="J43" s="161" t="str"/>
      <x:c r="K43" s="161" t="str"/>
      <x:c r="L43" s="161" t="str"/>
      <x:c r="M43" s="161" t="str">
        <x:f>IF(COUNT(I43:L43)=0,"",SUM(I43:L43))</x:f>
      </x:c>
      <x:c r="N43" s="161" t="str">
        <x:f>IF(OR(M43="",M43=0),"",IF(M43&gt;=15,"on_track",IF(M43&gt;=11,"borderline","below_target")))</x:f>
      </x:c>
      <x:c r="O43" s="161" t="str">
        <x:f>IF(OR(M43="",M43=0),"",IF(OR(M43&lt;11,MIN(I43:L43)&lt;=1),"REVIEW","OK"))</x:f>
      </x:c>
      <x:c r="P43" s="113" t="str"/>
      <x:c r="Q43" s="113" t="str"/>
      <x:c r="R43" s="57" t="str"/>
    </x:row>
    <x:row r="44" ht="15" hidden="0" customHeight="1">
      <x:c r="A44" s="58" t="str"/>
      <x:c r="B44" s="114" t="str"/>
      <x:c r="C44" s="114" t="str"/>
      <x:c r="D44" s="114" t="str"/>
      <x:c r="E44" s="114" t="str"/>
      <x:c r="F44" s="114" t="str"/>
      <x:c r="G44" s="162" t="str"/>
      <x:c r="H44" s="162" t="str"/>
      <x:c r="I44" s="162" t="str"/>
      <x:c r="J44" s="162" t="str"/>
      <x:c r="K44" s="162" t="str"/>
      <x:c r="L44" s="162" t="str"/>
      <x:c r="M44" s="162" t="str">
        <x:f>IF(COUNT(I44:L44)=0,"",SUM(I44:L44))</x:f>
      </x:c>
      <x:c r="N44" s="162" t="str">
        <x:f>IF(OR(M44="",M44=0),"",IF(M44&gt;=15,"on_track",IF(M44&gt;=11,"borderline","below_target")))</x:f>
      </x:c>
      <x:c r="O44" s="162" t="str">
        <x:f>IF(OR(M44="",M44=0),"",IF(OR(M44&lt;11,MIN(I44:L44)&lt;=1),"REVIEW","OK"))</x:f>
      </x:c>
      <x:c r="P44" s="114" t="str"/>
      <x:c r="Q44" s="114" t="str"/>
      <x:c r="R44" s="59" t="str"/>
    </x:row>
  </x:sheetData>
  <x:dataValidations count="3">
    <x:dataValidation type="whole" errorStyle="stop" operator="between" showErrorMessage="1" errorTitle="Invalid score" error="Enter a whole-number score between 0 and 5." sqref="I5:L44">
      <x:formula1>0</x:formula1>
      <x:formula2>5</x:formula2>
    </x:dataValidation>
    <x:dataValidation type="list" allowBlank="1" showDropDown="0" sqref="D5:D44">
      <x:formula1>"email,article"</x:formula1>
    </x:dataValidation>
    <x:dataValidation type="list" allowBlank="1" showDropDown="0" sqref="R5:R44">
      <x:formula1>"draft,approved,needs_review"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290000915527344" hidden="0" customWidth="1"/>
    <x:col min="2" max="2" width="8.289999961853027" hidden="0" customWidth="1"/>
    <x:col min="3" max="3" width="17" hidden="0" customWidth="1"/>
    <x:col min="4" max="4" width="5.289999961853027" hidden="0" customWidth="1"/>
    <x:col min="5" max="5" width="9.569999694824219" hidden="0" customWidth="1"/>
    <x:col min="6" max="6" width="9.710000038146973" hidden="0" customWidth="1"/>
    <x:col min="7" max="7" width="8.859999656677246" hidden="0" customWidth="1"/>
    <x:col min="8" max="8" width="5.570000171661377" hidden="0" customWidth="1"/>
    <x:col min="9" max="9" width="3.7100000381469727" hidden="0" customWidth="1"/>
    <x:col min="10" max="10" width="3" hidden="0" customWidth="1"/>
    <x:col min="11" max="11" width="8.140000343322754" hidden="0" customWidth="1"/>
    <x:col min="12" max="12" width="5.710000038146973" hidden="0" customWidth="1"/>
    <x:col min="13" max="13" width="6.139999866485596" hidden="0" customWidth="1"/>
    <x:col min="14" max="14" width="11.289999961853027" hidden="0" customWidth="1"/>
    <x:col min="15" max="15" width="6.710000038146973" hidden="0" customWidth="1"/>
    <x:col min="16" max="16" width="43.43000030517578" hidden="0" customWidth="1"/>
    <x:col min="17" max="17" width="57.709999084472656" hidden="0" customWidth="1"/>
    <x:col min="18" max="18" width="11.710000038146973" hidden="0" customWidth="1"/>
  </x:cols>
  <x:sheetData>
    <x:row r="1" ht="19.53125" hidden="0" customHeight="1">
      <x:c r="A1" s="6" t="str">
        <x:v>Sample Filled Rows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</x:row>
    <x:row r="2"/>
    <x:row r="3" ht="15" hidden="0" customHeight="1">
      <x:c r="A3" s="24" t="str">
        <x:v>Sample ID</x:v>
      </x:c>
      <x:c r="B3" s="100" t="str">
        <x:v>Student</x:v>
      </x:c>
      <x:c r="C3" s="100" t="str">
        <x:v>Prompt ID</x:v>
      </x:c>
      <x:c r="D3" s="100" t="str">
        <x:v>Type</x:v>
      </x:c>
      <x:c r="E3" s="100" t="str">
        <x:v>Rater</x:v>
      </x:c>
      <x:c r="F3" s="100" t="str">
        <x:v>Date</x:v>
      </x:c>
      <x:c r="G3" s="100" t="str">
        <x:v>Time (sec)</x:v>
      </x:c>
      <x:c r="H3" s="100" t="str">
        <x:v>Words</x:v>
      </x:c>
      <x:c r="I3" s="100" t="str">
        <x:v>Task</x:v>
      </x:c>
      <x:c r="J3" s="100" t="str">
        <x:v>Org</x:v>
      </x:c>
      <x:c r="K3" s="100" t="str">
        <x:v>Grammar</x:v>
      </x:c>
      <x:c r="L3" s="100" t="str">
        <x:v>Lexical</x:v>
      </x:c>
      <x:c r="M3" s="100" t="str">
        <x:v>Overall</x:v>
      </x:c>
      <x:c r="N3" s="100" t="str">
        <x:v>Readiness</x:v>
      </x:c>
      <x:c r="O3" s="100" t="str">
        <x:v>Review</x:v>
      </x:c>
      <x:c r="P3" s="100" t="str">
        <x:v>Strength Notes</x:v>
      </x:c>
      <x:c r="Q3" s="100" t="str">
        <x:v>Issue Notes</x:v>
      </x:c>
      <x:c r="R3" s="25" t="str">
        <x:v>Status</x:v>
      </x:c>
    </x:row>
    <x:row r="4" ht="15" hidden="0" customHeight="1">
      <x:c r="A4" s="54" t="str">
        <x:v>email_001</x:v>
      </x:c>
      <x:c r="B4" s="112" t="str">
        <x:v>Student A</x:v>
      </x:c>
      <x:c r="C4" s="112" t="str">
        <x:v>wp_pet_email_001</x:v>
      </x:c>
      <x:c r="D4" s="112" t="str">
        <x:v>email</x:v>
      </x:c>
      <x:c r="E4" s="112" t="str">
        <x:v>teacher_01</x:v>
      </x:c>
      <x:c r="F4" s="112" t="str">
        <x:v>2026-04-23</x:v>
      </x:c>
      <x:c r="G4" s="112" t="n">
        <x:v>980</x:v>
      </x:c>
      <x:c r="H4" s="112" t="n">
        <x:v>43</x:v>
      </x:c>
      <x:c r="I4" s="112" t="n">
        <x:v>5</x:v>
      </x:c>
      <x:c r="J4" s="112" t="n">
        <x:v>4</x:v>
      </x:c>
      <x:c r="K4" s="112" t="n">
        <x:v>4</x:v>
      </x:c>
      <x:c r="L4" s="112" t="n">
        <x:v>4</x:v>
      </x:c>
      <x:c r="M4" s="112" t="n">
        <x:f>IF(COUNT(I4:L4)=0,"",SUM(I4:L4))</x:f>
        <x:v>17</x:v>
      </x:c>
      <x:c r="N4" s="112" t="str">
        <x:f>IF(OR(M4="",M4=0),"",IF(M4&gt;=15,"on_track",IF(M4&gt;=11,"borderline","below_target")))</x:f>
        <x:v>on_track</x:v>
      </x:c>
      <x:c r="O4" s="112" t="str">
        <x:f>IF(OR(M4="",M4=0),"",IF(OR(M4&lt;11,MIN(I4:L4)&lt;=1),"REVIEW","OK"))</x:f>
        <x:v>OK</x:v>
      </x:c>
      <x:c r="P4" s="112" t="str">
        <x:v>Complete task response and clear invitation.</x:v>
      </x:c>
      <x:c r="Q4" s="112" t="str">
        <x:v>Could add slightly richer vocabulary in the middle paragraph.</x:v>
      </x:c>
      <x:c r="R4" s="55" t="str">
        <x:v>approved</x:v>
      </x:c>
    </x:row>
    <x:row r="5" ht="15" hidden="0" customHeight="1">
      <x:c r="A5" s="56" t="str">
        <x:v>email_004</x:v>
      </x:c>
      <x:c r="B5" s="113" t="str">
        <x:v>Student B</x:v>
      </x:c>
      <x:c r="C5" s="113" t="str">
        <x:v>wp_pet_email_001</x:v>
      </x:c>
      <x:c r="D5" s="113" t="str">
        <x:v>email</x:v>
      </x:c>
      <x:c r="E5" s="113" t="str">
        <x:v>teacher_02</x:v>
      </x:c>
      <x:c r="F5" s="113" t="str">
        <x:v>2026-04-23</x:v>
      </x:c>
      <x:c r="G5" s="113" t="n">
        <x:v>540</x:v>
      </x:c>
      <x:c r="H5" s="113" t="n">
        <x:v>10</x:v>
      </x:c>
      <x:c r="I5" s="113" t="n">
        <x:v>2</x:v>
      </x:c>
      <x:c r="J5" s="113" t="n">
        <x:v>1</x:v>
      </x:c>
      <x:c r="K5" s="113" t="n">
        <x:v>1</x:v>
      </x:c>
      <x:c r="L5" s="113" t="n">
        <x:v>1</x:v>
      </x:c>
      <x:c r="M5" s="113" t="n">
        <x:f>IF(COUNT(I5:L5)=0,"",SUM(I5:L5))</x:f>
        <x:v>5</x:v>
      </x:c>
      <x:c r="N5" s="113" t="str">
        <x:f>IF(OR(M5="",M5=0),"",IF(M5&gt;=15,"on_track",IF(M5&gt;=11,"borderline","below_target")))</x:f>
        <x:v>below_target</x:v>
      </x:c>
      <x:c r="O5" s="113" t="str">
        <x:f>IF(OR(M5="",M5=0),"",IF(OR(M5&lt;11,MIN(I5:L5)&lt;=1),"REVIEW","OK"))</x:f>
        <x:v>REVIEW</x:v>
      </x:c>
      <x:c r="P5" s="113" t="str">
        <x:v>The task topic is partly addressed.</x:v>
      </x:c>
      <x:c r="Q5" s="113" t="str">
        <x:v>Very short response and grammar errors make the message unclear.</x:v>
      </x:c>
      <x:c r="R5" s="57" t="str">
        <x:v>needs_review</x:v>
      </x:c>
    </x:row>
    <x:row r="6" ht="15" hidden="0" customHeight="1">
      <x:c r="A6" s="58" t="str">
        <x:v>article_005</x:v>
      </x:c>
      <x:c r="B6" s="114" t="str">
        <x:v>Student C</x:v>
      </x:c>
      <x:c r="C6" s="114" t="str">
        <x:v>wp_pet_article_001</x:v>
      </x:c>
      <x:c r="D6" s="114" t="str">
        <x:v>article</x:v>
      </x:c>
      <x:c r="E6" s="114" t="str">
        <x:v>teacher_03</x:v>
      </x:c>
      <x:c r="F6" s="114" t="str">
        <x:v>2026-04-23</x:v>
      </x:c>
      <x:c r="G6" s="114" t="n">
        <x:v>1110</x:v>
      </x:c>
      <x:c r="H6" s="114" t="n">
        <x:v>44</x:v>
      </x:c>
      <x:c r="I6" s="114" t="n">
        <x:v>5</x:v>
      </x:c>
      <x:c r="J6" s="114" t="n">
        <x:v>5</x:v>
      </x:c>
      <x:c r="K6" s="114" t="n">
        <x:v>4</x:v>
      </x:c>
      <x:c r="L6" s="114" t="n">
        <x:v>4</x:v>
      </x:c>
      <x:c r="M6" s="114" t="n">
        <x:f>IF(COUNT(I6:L6)=0,"",SUM(I6:L6))</x:f>
        <x:v>18</x:v>
      </x:c>
      <x:c r="N6" s="114" t="str">
        <x:f>IF(OR(M6="",M6=0),"",IF(M6&gt;=15,"on_track",IF(M6&gt;=11,"borderline","below_target")))</x:f>
        <x:v>on_track</x:v>
      </x:c>
      <x:c r="O6" s="114" t="str">
        <x:f>IF(OR(M6="",M6=0),"",IF(OR(M6&lt;11,MIN(I6:L6)&lt;=1),"REVIEW","OK"))</x:f>
        <x:v>OK</x:v>
      </x:c>
      <x:c r="P6" s="114" t="str">
        <x:v>Strong task completion and very clear organization.</x:v>
      </x:c>
      <x:c r="Q6" s="114" t="str">
        <x:v>Grammar is good overall, but sentence variety could still grow.</x:v>
      </x:c>
      <x:c r="R6" s="59" t="str">
        <x:v>approved</x:v>
      </x:c>
    </x:row>
    <x:row r="7"/>
    <x:row r="8"/>
    <x:row r="9"/>
    <x:row r="10"/>
  </x:sheetData>
  <x:pageMargins left="0.7" right="0.7" top="0.75" bottom="0.75" header="0.3" footer="0.3"/>
</x:worksheet>
</file>